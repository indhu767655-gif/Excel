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esktop\"/>
    </mc:Choice>
  </mc:AlternateContent>
  <bookViews>
    <workbookView xWindow="0" yWindow="0" windowWidth="19200" windowHeight="952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2" i="2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  <c r="K2" i="1" l="1"/>
  <c r="J4" i="1"/>
  <c r="J5" i="1"/>
  <c r="J6" i="1"/>
  <c r="I3" i="1"/>
  <c r="I4" i="1"/>
  <c r="I5" i="1"/>
  <c r="I6" i="1"/>
  <c r="I2" i="1"/>
  <c r="H7" i="1"/>
  <c r="G3" i="1"/>
  <c r="G4" i="1"/>
  <c r="G5" i="1"/>
  <c r="G6" i="1"/>
  <c r="G2" i="1"/>
  <c r="F3" i="1"/>
  <c r="F4" i="1"/>
  <c r="F5" i="1"/>
  <c r="F6" i="1"/>
  <c r="F2" i="1"/>
  <c r="E3" i="1"/>
  <c r="H3" i="1" s="1"/>
  <c r="E4" i="1"/>
  <c r="H4" i="1" s="1"/>
  <c r="E5" i="1"/>
  <c r="H5" i="1" s="1"/>
  <c r="E6" i="1"/>
  <c r="H6" i="1" s="1"/>
  <c r="E2" i="1"/>
  <c r="H2" i="1" s="1"/>
</calcChain>
</file>

<file path=xl/sharedStrings.xml><?xml version="1.0" encoding="utf-8"?>
<sst xmlns="http://schemas.openxmlformats.org/spreadsheetml/2006/main" count="60" uniqueCount="51">
  <si>
    <t>EMPLOYEE</t>
  </si>
  <si>
    <t>REGION</t>
  </si>
  <si>
    <t>SALES</t>
  </si>
  <si>
    <t>QUARTER</t>
  </si>
  <si>
    <t>Indhu</t>
  </si>
  <si>
    <t>Naseema</t>
  </si>
  <si>
    <t>Nithya</t>
  </si>
  <si>
    <t>Devi</t>
  </si>
  <si>
    <t>Lucky</t>
  </si>
  <si>
    <t>Leo</t>
  </si>
  <si>
    <t>Luna</t>
  </si>
  <si>
    <t>North</t>
  </si>
  <si>
    <t>South</t>
  </si>
  <si>
    <t>west</t>
  </si>
  <si>
    <t>East</t>
  </si>
  <si>
    <t>Q1</t>
  </si>
  <si>
    <t>Q2</t>
  </si>
  <si>
    <t>Q3</t>
  </si>
  <si>
    <t>INDEX</t>
  </si>
  <si>
    <t>MATCH</t>
  </si>
  <si>
    <t>UNIQUE</t>
  </si>
  <si>
    <t>IFS</t>
  </si>
  <si>
    <t>COUNTIFS</t>
  </si>
  <si>
    <t>SUMIFS</t>
  </si>
  <si>
    <t>AVERAGEIFS</t>
  </si>
  <si>
    <t>HR</t>
  </si>
  <si>
    <t>IT</t>
  </si>
  <si>
    <t>Finance</t>
  </si>
  <si>
    <t>Marketing</t>
  </si>
  <si>
    <t>HR-001</t>
  </si>
  <si>
    <t>IT-002</t>
  </si>
  <si>
    <t>FN-003</t>
  </si>
  <si>
    <t>MK-004</t>
  </si>
  <si>
    <t>HR-005</t>
  </si>
  <si>
    <t>IT-006</t>
  </si>
  <si>
    <t>FIRST NAME</t>
  </si>
  <si>
    <t>Gopi Indhu</t>
  </si>
  <si>
    <t>Tamil Nasee</t>
  </si>
  <si>
    <t>Abii Niya</t>
  </si>
  <si>
    <t>Chandru Devi</t>
  </si>
  <si>
    <t>Ingi Gingi</t>
  </si>
  <si>
    <t>Pihu Hupi</t>
  </si>
  <si>
    <t>MID</t>
  </si>
  <si>
    <t>RIGHT NAME</t>
  </si>
  <si>
    <t>LENGTH</t>
  </si>
  <si>
    <t>SUBSTITUTE</t>
  </si>
  <si>
    <t>SEARCH</t>
  </si>
  <si>
    <t>ISNUMBER</t>
  </si>
  <si>
    <t>FULL NAME</t>
  </si>
  <si>
    <t>DEPARTMENT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</si>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</sst>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onstantia"/>
      <family val="1"/>
    </font>
    <font>
      <sz val="12"/>
      <color theme="1"/>
      <name val="Baskerville Old Face"/>
      <family val="1"/>
    </font>
    <font>
      <sz val="12"/>
      <color theme="1"/>
      <name val="Bodoni MT"/>
      <family val="1"/>
    </font>
    <font>
      <b/>
      <sz val="14"/>
      <color theme="1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4" sqref="J4"/>
    </sheetView>
  </sheetViews>
  <sheetFormatPr defaultRowHeight="15" x14ac:dyDescent="0.25"/>
  <cols>
    <col min="1" max="1" width="15.85546875" customWidth="1"/>
    <col min="2" max="2" width="12.42578125" customWidth="1"/>
    <col min="3" max="4" width="14.140625" customWidth="1"/>
    <col min="5" max="5" width="11.7109375" customWidth="1"/>
    <col min="6" max="6" width="12.42578125" customWidth="1"/>
    <col min="7" max="7" width="13.140625" customWidth="1"/>
    <col min="8" max="8" width="8" customWidth="1"/>
    <col min="9" max="9" width="14.85546875" customWidth="1"/>
    <col min="10" max="10" width="11.85546875" customWidth="1"/>
    <col min="11" max="11" width="20.5703125" customWidth="1"/>
  </cols>
  <sheetData>
    <row r="1" spans="1:11" ht="18.7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4" t="s">
        <v>24</v>
      </c>
    </row>
    <row r="2" spans="1:11" ht="15.75" x14ac:dyDescent="0.25">
      <c r="A2" s="5" t="s">
        <v>4</v>
      </c>
      <c r="B2" s="6" t="s">
        <v>11</v>
      </c>
      <c r="C2" s="6">
        <v>5000</v>
      </c>
      <c r="D2" s="6" t="s">
        <v>15</v>
      </c>
      <c r="E2" s="6" t="str">
        <f>INDEX(A2:D9,3,4)</f>
        <v>Q2</v>
      </c>
      <c r="F2" s="6">
        <f>MATCH(D4,D2:D8,0)</f>
        <v>3</v>
      </c>
      <c r="G2" s="6" t="str">
        <f>IF(COUNTIF($A$2:A2,A2)=1,A2,"")</f>
        <v>Indhu</v>
      </c>
      <c r="H2" s="6">
        <f>IF(E2="Q1",1,IF(E2="Q2",2,IF(E2="Q3",3,"")))</f>
        <v>2</v>
      </c>
      <c r="I2" s="6">
        <f>COUNTIF(C2:C8,6000)</f>
        <v>1</v>
      </c>
      <c r="J2" s="6">
        <v>12000</v>
      </c>
      <c r="K2" s="7">
        <f>AVERAGEIFS(C2:C8,A2:A8,"Indhu")</f>
        <v>5000</v>
      </c>
    </row>
    <row r="3" spans="1:11" ht="15.75" x14ac:dyDescent="0.25">
      <c r="A3" s="5" t="s">
        <v>5</v>
      </c>
      <c r="B3" s="6" t="s">
        <v>11</v>
      </c>
      <c r="C3" s="6">
        <v>8000</v>
      </c>
      <c r="D3" s="6" t="s">
        <v>15</v>
      </c>
      <c r="E3" s="6" t="str">
        <f t="shared" ref="E3:E6" si="0">INDEX(A3:D10,3,4)</f>
        <v>Q2</v>
      </c>
      <c r="F3" s="6">
        <f t="shared" ref="F3:F6" si="1">MATCH(D5,D3:D9,0)</f>
        <v>2</v>
      </c>
      <c r="G3" s="6" t="str">
        <f>IF(COUNTIF($A$2:A3,A3)=1,A3,"")</f>
        <v>Naseema</v>
      </c>
      <c r="H3" s="6">
        <f t="shared" ref="H3:H7" si="2">IF(E3="Q1",1,IF(E3="Q2",2,IF(E3="Q3",3,"")))</f>
        <v>2</v>
      </c>
      <c r="I3" s="6">
        <f t="shared" ref="I3:I6" si="3">COUNTIF(C3:C9,6000)</f>
        <v>1</v>
      </c>
      <c r="J3" s="6">
        <v>0</v>
      </c>
      <c r="K3" s="7"/>
    </row>
    <row r="4" spans="1:11" ht="15.75" x14ac:dyDescent="0.25">
      <c r="A4" s="5" t="s">
        <v>6</v>
      </c>
      <c r="B4" s="6" t="s">
        <v>12</v>
      </c>
      <c r="C4" s="6">
        <v>7000</v>
      </c>
      <c r="D4" s="6" t="s">
        <v>16</v>
      </c>
      <c r="E4" s="6" t="str">
        <f t="shared" si="0"/>
        <v>Q1</v>
      </c>
      <c r="F4" s="6">
        <f t="shared" si="1"/>
        <v>3</v>
      </c>
      <c r="G4" s="6" t="str">
        <f>IF(COUNTIF($A$2:A4,A4)=1,A4,"")</f>
        <v>Nithya</v>
      </c>
      <c r="H4" s="6">
        <f t="shared" si="2"/>
        <v>1</v>
      </c>
      <c r="I4" s="6">
        <f t="shared" si="3"/>
        <v>1</v>
      </c>
      <c r="J4" s="6">
        <f t="shared" ref="J4:J6" si="4">SUMIFS(C4:C10,A4:A10,"Indhu")</f>
        <v>0</v>
      </c>
      <c r="K4" s="7"/>
    </row>
    <row r="5" spans="1:11" ht="15.75" x14ac:dyDescent="0.25">
      <c r="A5" s="5" t="s">
        <v>7</v>
      </c>
      <c r="B5" s="6" t="s">
        <v>13</v>
      </c>
      <c r="C5" s="6">
        <v>6000</v>
      </c>
      <c r="D5" s="6" t="s">
        <v>16</v>
      </c>
      <c r="E5" s="6" t="str">
        <f t="shared" si="0"/>
        <v>Q3</v>
      </c>
      <c r="F5" s="6">
        <f t="shared" si="1"/>
        <v>3</v>
      </c>
      <c r="G5" s="6" t="str">
        <f>IF(COUNTIF($A$2:A5,A5)=1,A5,"")</f>
        <v>Devi</v>
      </c>
      <c r="H5" s="6">
        <f t="shared" si="2"/>
        <v>3</v>
      </c>
      <c r="I5" s="6">
        <f t="shared" si="3"/>
        <v>1</v>
      </c>
      <c r="J5" s="6">
        <f t="shared" si="4"/>
        <v>0</v>
      </c>
      <c r="K5" s="7"/>
    </row>
    <row r="6" spans="1:11" ht="15.75" x14ac:dyDescent="0.25">
      <c r="A6" s="5" t="s">
        <v>8</v>
      </c>
      <c r="B6" s="6" t="s">
        <v>11</v>
      </c>
      <c r="C6" s="6">
        <v>4000</v>
      </c>
      <c r="D6" s="6" t="s">
        <v>15</v>
      </c>
      <c r="E6" s="6" t="str">
        <f t="shared" si="0"/>
        <v>Q3</v>
      </c>
      <c r="F6" s="6">
        <f t="shared" si="1"/>
        <v>2</v>
      </c>
      <c r="G6" s="6" t="str">
        <f>IF(COUNTIF($A$2:A6,A6)=1,A6,"")</f>
        <v>Lucky</v>
      </c>
      <c r="H6" s="6">
        <f t="shared" si="2"/>
        <v>3</v>
      </c>
      <c r="I6" s="6">
        <f t="shared" si="3"/>
        <v>0</v>
      </c>
      <c r="J6" s="6">
        <f t="shared" si="4"/>
        <v>0</v>
      </c>
      <c r="K6" s="7"/>
    </row>
    <row r="7" spans="1:11" ht="15.75" x14ac:dyDescent="0.25">
      <c r="A7" s="5" t="s">
        <v>9</v>
      </c>
      <c r="B7" s="6" t="s">
        <v>12</v>
      </c>
      <c r="C7" s="6">
        <v>9000</v>
      </c>
      <c r="D7" s="6" t="s">
        <v>17</v>
      </c>
      <c r="E7" s="6"/>
      <c r="F7" s="6"/>
      <c r="G7" s="6"/>
      <c r="H7" s="6" t="str">
        <f t="shared" si="2"/>
        <v/>
      </c>
      <c r="I7" s="6"/>
      <c r="J7" s="6"/>
      <c r="K7" s="7"/>
    </row>
    <row r="8" spans="1:11" ht="16.5" thickBot="1" x14ac:dyDescent="0.3">
      <c r="A8" s="8" t="s">
        <v>10</v>
      </c>
      <c r="B8" s="9" t="s">
        <v>14</v>
      </c>
      <c r="C8" s="9">
        <v>3000</v>
      </c>
      <c r="D8" s="9" t="s">
        <v>17</v>
      </c>
      <c r="E8" s="9"/>
      <c r="F8" s="9"/>
      <c r="G8" s="9"/>
      <c r="H8" s="9"/>
      <c r="I8" s="9"/>
      <c r="J8" s="9"/>
      <c r="K8" s="10"/>
    </row>
    <row r="11" spans="1:11" ht="15.75" thickBot="1" x14ac:dyDescent="0.3"/>
    <row r="12" spans="1:11" ht="15.75" thickBot="1" x14ac:dyDescent="0.3">
      <c r="K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H18" sqref="H18"/>
    </sheetView>
  </sheetViews>
  <sheetFormatPr defaultRowHeight="15" x14ac:dyDescent="0.25"/>
  <cols>
    <col min="1" max="1" width="15.85546875" customWidth="1"/>
    <col min="2" max="2" width="19.7109375" customWidth="1"/>
    <col min="3" max="3" width="20.7109375" customWidth="1"/>
    <col min="4" max="4" width="18.140625" customWidth="1"/>
    <col min="5" max="5" width="15.42578125" customWidth="1"/>
    <col min="6" max="6" width="19" customWidth="1"/>
    <col min="7" max="7" width="14.85546875" customWidth="1"/>
    <col min="8" max="8" width="19.5703125" customWidth="1"/>
    <col min="9" max="9" width="11.42578125" customWidth="1"/>
    <col min="10" max="10" width="15.42578125" customWidth="1"/>
  </cols>
  <sheetData>
    <row r="1" spans="1:10" ht="18" x14ac:dyDescent="0.25">
      <c r="A1" s="12" t="s">
        <v>48</v>
      </c>
      <c r="B1" s="12" t="s">
        <v>49</v>
      </c>
      <c r="C1" s="12" t="s">
        <v>50</v>
      </c>
      <c r="D1" s="12" t="s">
        <v>35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</row>
    <row r="2" spans="1:10" ht="15.75" x14ac:dyDescent="0.25">
      <c r="A2" s="11" t="s">
        <v>36</v>
      </c>
      <c r="B2" s="11" t="s">
        <v>25</v>
      </c>
      <c r="C2" s="11" t="s">
        <v>29</v>
      </c>
      <c r="D2" s="11" t="str">
        <f>LEFT(A2,4)</f>
        <v>Gopi</v>
      </c>
      <c r="E2" s="11" t="str">
        <f>MID(B2,1,2)</f>
        <v>HR</v>
      </c>
      <c r="F2" s="11" t="str">
        <f>RIGHT(C2,3)</f>
        <v>001</v>
      </c>
      <c r="G2" s="11">
        <f>LEN(A2)</f>
        <v>10</v>
      </c>
      <c r="H2" s="11" t="str">
        <f>SUBSTITUTE(A2,"","-")</f>
        <v>Gopi Indhu</v>
      </c>
      <c r="I2" s="11">
        <f>SEARCH(" ",A2)</f>
        <v>5</v>
      </c>
      <c r="J2" s="11" t="b">
        <f>ISNUMBER(SEARCH("1",C2))</f>
        <v>1</v>
      </c>
    </row>
    <row r="3" spans="1:10" ht="15.75" x14ac:dyDescent="0.25">
      <c r="A3" s="11" t="s">
        <v>37</v>
      </c>
      <c r="B3" s="11" t="s">
        <v>26</v>
      </c>
      <c r="C3" s="11" t="s">
        <v>30</v>
      </c>
      <c r="D3" s="11" t="str">
        <f t="shared" ref="D3:D7" si="0">LEFT(A3,4)</f>
        <v>Tami</v>
      </c>
      <c r="E3" s="11" t="str">
        <f t="shared" ref="E3:E7" si="1">MID(B3,1,2)</f>
        <v>IT</v>
      </c>
      <c r="F3" s="11" t="str">
        <f t="shared" ref="F3:F7" si="2">RIGHT(C3,3)</f>
        <v>002</v>
      </c>
      <c r="G3" s="11">
        <f t="shared" ref="G3:G7" si="3">LEN(A3)</f>
        <v>11</v>
      </c>
      <c r="H3" s="11" t="str">
        <f t="shared" ref="H3:H7" si="4">SUBSTITUTE(A3,"","-")</f>
        <v>Tamil Nasee</v>
      </c>
      <c r="I3" s="11">
        <f t="shared" ref="I3:I7" si="5">SEARCH(" ",A3)</f>
        <v>6</v>
      </c>
      <c r="J3" s="11" t="b">
        <f t="shared" ref="J3:J7" si="6">ISNUMBER(SEARCH("1",C3))</f>
        <v>0</v>
      </c>
    </row>
    <row r="4" spans="1:10" ht="15.75" x14ac:dyDescent="0.25">
      <c r="A4" s="11" t="s">
        <v>38</v>
      </c>
      <c r="B4" s="11" t="s">
        <v>27</v>
      </c>
      <c r="C4" s="11" t="s">
        <v>31</v>
      </c>
      <c r="D4" s="11" t="str">
        <f t="shared" si="0"/>
        <v>Abii</v>
      </c>
      <c r="E4" s="11" t="str">
        <f t="shared" si="1"/>
        <v>Fi</v>
      </c>
      <c r="F4" s="11" t="str">
        <f t="shared" si="2"/>
        <v>003</v>
      </c>
      <c r="G4" s="11">
        <f t="shared" si="3"/>
        <v>9</v>
      </c>
      <c r="H4" s="11" t="str">
        <f t="shared" si="4"/>
        <v>Abii Niya</v>
      </c>
      <c r="I4" s="11">
        <f t="shared" si="5"/>
        <v>5</v>
      </c>
      <c r="J4" s="11" t="b">
        <f t="shared" si="6"/>
        <v>0</v>
      </c>
    </row>
    <row r="5" spans="1:10" ht="15.75" x14ac:dyDescent="0.25">
      <c r="A5" s="11" t="s">
        <v>39</v>
      </c>
      <c r="B5" s="11" t="s">
        <v>28</v>
      </c>
      <c r="C5" s="11" t="s">
        <v>32</v>
      </c>
      <c r="D5" s="11" t="str">
        <f t="shared" si="0"/>
        <v>Chan</v>
      </c>
      <c r="E5" s="11" t="str">
        <f t="shared" si="1"/>
        <v>Ma</v>
      </c>
      <c r="F5" s="11" t="str">
        <f t="shared" si="2"/>
        <v>004</v>
      </c>
      <c r="G5" s="11">
        <f t="shared" si="3"/>
        <v>12</v>
      </c>
      <c r="H5" s="11" t="str">
        <f t="shared" si="4"/>
        <v>Chandru Devi</v>
      </c>
      <c r="I5" s="11">
        <f t="shared" si="5"/>
        <v>8</v>
      </c>
      <c r="J5" s="11" t="b">
        <f t="shared" si="6"/>
        <v>0</v>
      </c>
    </row>
    <row r="6" spans="1:10" ht="15.75" x14ac:dyDescent="0.25">
      <c r="A6" s="11" t="s">
        <v>40</v>
      </c>
      <c r="B6" s="11" t="s">
        <v>25</v>
      </c>
      <c r="C6" s="11" t="s">
        <v>33</v>
      </c>
      <c r="D6" s="11" t="str">
        <f t="shared" si="0"/>
        <v>Ingi</v>
      </c>
      <c r="E6" s="11" t="str">
        <f t="shared" si="1"/>
        <v>HR</v>
      </c>
      <c r="F6" s="11" t="str">
        <f t="shared" si="2"/>
        <v>005</v>
      </c>
      <c r="G6" s="11">
        <f t="shared" si="3"/>
        <v>10</v>
      </c>
      <c r="H6" s="11" t="str">
        <f t="shared" si="4"/>
        <v>Ingi Gingi</v>
      </c>
      <c r="I6" s="11">
        <f t="shared" si="5"/>
        <v>5</v>
      </c>
      <c r="J6" s="11" t="b">
        <f t="shared" si="6"/>
        <v>0</v>
      </c>
    </row>
    <row r="7" spans="1:10" ht="15.75" x14ac:dyDescent="0.25">
      <c r="A7" s="11" t="s">
        <v>41</v>
      </c>
      <c r="B7" s="11" t="s">
        <v>26</v>
      </c>
      <c r="C7" s="11" t="s">
        <v>34</v>
      </c>
      <c r="D7" s="11" t="str">
        <f t="shared" si="0"/>
        <v>Pihu</v>
      </c>
      <c r="E7" s="11" t="str">
        <f t="shared" si="1"/>
        <v>IT</v>
      </c>
      <c r="F7" s="11" t="str">
        <f t="shared" si="2"/>
        <v>006</v>
      </c>
      <c r="G7" s="11">
        <f t="shared" si="3"/>
        <v>9</v>
      </c>
      <c r="H7" s="11" t="str">
        <f t="shared" si="4"/>
        <v>Pihu Hupi</v>
      </c>
      <c r="I7" s="11">
        <f t="shared" si="5"/>
        <v>5</v>
      </c>
      <c r="J7" s="11" t="b">
        <f t="shared" si="6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2026-02-03T11:24:11Z</dcterms:created>
  <dcterms:modified xsi:type="dcterms:W3CDTF">2026-02-05T15:42:47Z</dcterms:modified>
</cp:coreProperties>
</file>